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l Estate Mitigation Strategy" sheetId="1" state="visible" r:id="rId3"/>
    <sheet name="Strategies" sheetId="2" state="hidden" r:id="rId4"/>
    <sheet name="Justification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<sst xmlns="http://schemas.openxmlformats.org/spreadsheetml/2006/main" count="109" uniqueCount="76">
  <si>
    <t xml:space="preserve">Risk </t>
  </si>
  <si>
    <t xml:space="preserve">Risk Probability</t>
  </si>
  <si>
    <t xml:space="preserve">Risk Level</t>
  </si>
  <si>
    <t xml:space="preserve">Mitigation Strategy</t>
  </si>
  <si>
    <t xml:space="preserve">Potential Outcomes</t>
  </si>
  <si>
    <t xml:space="preserve">An increase in property taxes</t>
  </si>
  <si>
    <t xml:space="preserve">Explore legal avenues for tax reduction</t>
  </si>
  <si>
    <t xml:space="preserve">$250k+ in needed major repairs</t>
  </si>
  <si>
    <t xml:space="preserve">Plan for a one-time rent increase</t>
  </si>
  <si>
    <t xml:space="preserve">10% drop in occupancy rate</t>
  </si>
  <si>
    <t xml:space="preserve">Introduce competitive pricing</t>
  </si>
  <si>
    <t xml:space="preserve">Market downturn affecting property values and rental income</t>
  </si>
  <si>
    <t xml:space="preserve">Adjust rent to market conditions</t>
  </si>
  <si>
    <t xml:space="preserve">New development competition</t>
  </si>
  <si>
    <t xml:space="preserve">Introduce loyalty programs for existing tenants</t>
  </si>
  <si>
    <t xml:space="preserve">Apply for tax reassessment</t>
  </si>
  <si>
    <t xml:space="preserve">Create a dedicated repair fund</t>
  </si>
  <si>
    <t xml:space="preserve">Enhance marketing efforts</t>
  </si>
  <si>
    <t xml:space="preserve">Diversify property portfolio</t>
  </si>
  <si>
    <t xml:space="preserve">Negotiate extended payment terms with contractors</t>
  </si>
  <si>
    <t xml:space="preserve">Strengthen tenant relationships through incentives</t>
  </si>
  <si>
    <t xml:space="preserve">Research competitor's pricing and services</t>
  </si>
  <si>
    <t xml:space="preserve">Increase rental prices moderately</t>
  </si>
  <si>
    <t xml:space="preserve">Upgrade amenities to retain and attract tenants</t>
  </si>
  <si>
    <t xml:space="preserve">Invest in property renovations</t>
  </si>
  <si>
    <t xml:space="preserve">Low Risk</t>
  </si>
  <si>
    <t xml:space="preserve">Best Choice</t>
  </si>
  <si>
    <t xml:space="preserve">For a low risk, this option is cost-effective and might reduce your taxes without significant effort or changes to your operations.</t>
  </si>
  <si>
    <t xml:space="preserve">Proactive and low-impact, ensuring funds are available if needed without immediate financial strain.</t>
  </si>
  <si>
    <t xml:space="preserve">An effective, low-cost strategy that can help fill vacancies without altering the existing pricing structure or investing heavily in the property.</t>
  </si>
  <si>
    <t xml:space="preserve">Keeps the property competitive and attractive to tenants, a cautious approach that aligns with the lower immediacy of risk.</t>
  </si>
  <si>
    <t xml:space="preserve">A low-cost and insightful first step to understand the new competitor and strategically position your property.</t>
  </si>
  <si>
    <t xml:space="preserve">Alt 1</t>
  </si>
  <si>
    <t xml:space="preserve">While this could offset the potential increase in taxes, it might not be necessary for a low-risk scenario and could risk tenant satisfaction.</t>
  </si>
  <si>
    <t xml:space="preserve">Offers financial flexibility but may introduce complexity in agreements.</t>
  </si>
  <si>
    <t xml:space="preserve">Though potentially reducing revenue, it's a viable option if the market analysis supports it.</t>
  </si>
  <si>
    <t xml:space="preserve">Helps in tenant retention, which is a good preventative measure but may not directly counteract a market downturn.</t>
  </si>
  <si>
    <t xml:space="preserve">Enhances tenant retention with minimal changes to the current operation, suitable for a low perceived threat.</t>
  </si>
  <si>
    <t xml:space="preserve">Alt 2</t>
  </si>
  <si>
    <t xml:space="preserve">This approach, while potentially effective, might involve unnecessary legal fees and effort when the risk of tax increase is low.</t>
  </si>
  <si>
    <t xml:space="preserve">May unnecessarily burden tenants when the risk and immediate need for repairs are low.</t>
  </si>
  <si>
    <t xml:space="preserve">Could be more than necessary for a low risk and might not yield a quick return on investment.</t>
  </si>
  <si>
    <t xml:space="preserve">While diversification is a solid long-term strategy, it may be unnecessary for a low-risk scenario.</t>
  </si>
  <si>
    <t xml:space="preserve">Could be an over-investment for a low-risk scenario, where the threat from new competition is not immediate.</t>
  </si>
  <si>
    <t xml:space="preserve">Medium Risk</t>
  </si>
  <si>
    <t xml:space="preserve">At a medium risk level, investing in legal advice could provide significant tax savings and is worth the effort.</t>
  </si>
  <si>
    <t xml:space="preserve">Balances the need for repairs with manageable cash flow, avoiding large upfront expenses.</t>
  </si>
  <si>
    <t xml:space="preserve">Can quickly attract new tenants and retain existing ones, directly addressing the occupancy challenge</t>
  </si>
  <si>
    <t xml:space="preserve">Can be crucial in retaining tenants during market uncertainty, balancing the potential for decreased income.</t>
  </si>
  <si>
    <t xml:space="preserve">Strikes a balance between cost and tenant satisfaction, helping to secure a stable tenant base in the face of growing competition.</t>
  </si>
  <si>
    <t xml:space="preserve">If the market can bear it, a moderate rent increase could buffer against the tax hike without major disruption.</t>
  </si>
  <si>
    <t xml:space="preserve">Still a sound strategy but may tie up resources that could be used elsewhere.</t>
  </si>
  <si>
    <t xml:space="preserve">Might need to be complemented with other strategies to effectively tackle a medium risk.</t>
  </si>
  <si>
    <t xml:space="preserve">A direct response to market changes but might need to be carefully balanced with tenant retention efforts.</t>
  </si>
  <si>
    <t xml:space="preserve">Still important for strategic planning, but may require more immediate action to retain tenants.</t>
  </si>
  <si>
    <t xml:space="preserve">A viable first step, but may not be sufficient on its own for medium risk.</t>
  </si>
  <si>
    <t xml:space="preserve">Can provide immediate funds for repairs but risks tenant satisfaction.</t>
  </si>
  <si>
    <t xml:space="preserve">Considered if the market trend shows that improved amenities could significantly boost occupancy.</t>
  </si>
  <si>
    <t xml:space="preserve">Begins to make more sense at this level, but it's a strategy that may not provide immediate relief.</t>
  </si>
  <si>
    <t xml:space="preserve">A considerable investment that should be weighed against the potential return, as the competition risk grows.</t>
  </si>
  <si>
    <t xml:space="preserve">High Risk</t>
  </si>
  <si>
    <t xml:space="preserve">In a high-risk scenario, a rental increase is a direct method to maintain profitability under the looming tax hike.</t>
  </si>
  <si>
    <t xml:space="preserve">Provides immediate funding for urgent repairs, directly addressing the high risk.</t>
  </si>
  <si>
    <t xml:space="preserve">A necessary investment that could differentiate the property from competitors, addressing the high risk of occupancy drop.</t>
  </si>
  <si>
    <t xml:space="preserve">Provides a hedge against significant market downturns and is a strategic move to spread and manage risk.</t>
  </si>
  <si>
    <t xml:space="preserve">Necessary to stay competitive and attractive to tenants when the threat is significant and likely to impact tenancy.</t>
  </si>
  <si>
    <t xml:space="preserve">Given the high risk, this could be a necessary step, but it may be time-consuming and not immediately effective.</t>
  </si>
  <si>
    <t xml:space="preserve">May not accumulate funds quickly enough to address immediate repair needs.</t>
  </si>
  <si>
    <t xml:space="preserve">While this could help, the high risk may require more substantial measures.</t>
  </si>
  <si>
    <t xml:space="preserve">Although necessary, simply adjusting rent might not be sufficient to address the full impact of a high-risk downturn.</t>
  </si>
  <si>
    <t xml:space="preserve">While useful for tenant retention, it may not be enough to counteract the draw of brand-new developments.</t>
  </si>
  <si>
    <t xml:space="preserve">This could attempted, but it may not be enough to counteract the risk of a substantial tax increase.</t>
  </si>
  <si>
    <t xml:space="preserve">Useful for managing cash flow but assumes contractors are willing to agree, which may not be certain.</t>
  </si>
  <si>
    <t xml:space="preserve">May not be enough on its own to counter a high risk of reduced occupancy.</t>
  </si>
  <si>
    <t xml:space="preserve">Important for tenant retention but might not offset the financial impact of significant market changes.</t>
  </si>
  <si>
    <t xml:space="preserve">Provides valuable information, but action based on the research will be crucial to respond to the high risk effectively.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</si>
</sst>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6"/>
      <color rgb="FFECECF1"/>
      <name val="Arial"/>
      <family val="2"/>
      <charset val="1"/>
    </font>
    <font>
      <b val="true"/>
      <sz val="12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"/>
        <bgColor rgb="FFECECF1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ECECF1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F0D9"/>
      <rgbColor rgb="FF660066"/>
      <rgbColor rgb="FFFF8080"/>
      <rgbColor rgb="FF0066CC"/>
      <rgbColor rgb="FFFBE5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70.33"/>
    <col collapsed="false" customWidth="true" hidden="false" outlineLevel="0" max="2" min="2" style="0" width="20.5"/>
    <col collapsed="false" customWidth="true" hidden="false" outlineLevel="0" max="3" min="3" style="0" width="15.84"/>
    <col collapsed="false" customWidth="true" hidden="false" outlineLevel="0" max="4" min="4" style="0" width="80.17"/>
    <col collapsed="false" customWidth="true" hidden="false" outlineLevel="0" max="5" min="5" style="0" width="142"/>
  </cols>
  <sheetData>
    <row r="1" customFormat="false" ht="2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1" hidden="false" customHeight="true" outlineLevel="0" collapsed="false">
      <c r="A2" s="2" t="s">
        <v>5</v>
      </c>
      <c r="B2" s="3" t="n">
        <v>0.5</v>
      </c>
      <c r="C2" s="2" t="str">
        <f aca="false">IF(ISBLANK(B2), "", IF(B2&lt;0.4, "Low Risk", IF(B2&lt;0.65, "Medium Risk", "High Risk")))</f>
        <v>Medium Risk</v>
      </c>
      <c r="D2" s="2" t="s">
        <v>6</v>
      </c>
      <c r="E2" s="2" t="str">
        <f aca="false">IF(AND(C2="Low Risk", D2="Apply for tax reassessment"), Justifications!B3,
 IF(AND(C2="Low Risk", D2="Explore legal avenues for tax reduction"), Justifications!B5,
 IF(AND(C2="Low Risk", D2="Increase rental prices moderately"), Justifications!B4,
 IF(AND(C2="Medium Risk", D2="Apply for tax reassessment"), Justifications!B9,
 IF(AND(C2="Medium Risk", D2="Explore legal avenues for tax reduction"), Justifications!B7,
 IF(AND(C2="Medium Risk", D2="Increase rental prices moderately"), Justifications!B8,
 IF(AND(C2="High Risk", D2="Apply for tax reassessment"), Justifications!B11,
 IF(AND(C2="High Risk", D2="Explore legal avenues for tax reduction"), Justifications!B12,
 IF(AND(C2="High Risk", D2="Increase rental prices moderately"), Justifications!B13,
 "Please select a valid risk level and mitigation strategy.")))))))))</f>
        <v>At a medium risk level, investing in legal advice could provide significant tax savings and is worth the effort.</v>
      </c>
    </row>
    <row r="3" customFormat="false" ht="21" hidden="false" customHeight="true" outlineLevel="0" collapsed="false">
      <c r="A3" s="2" t="s">
        <v>7</v>
      </c>
      <c r="B3" s="3" t="n">
        <v>0.75</v>
      </c>
      <c r="C3" s="2" t="str">
        <f aca="false">IF(ISBLANK(B3), "", IF(B3&lt;0.4, "Low Risk", IF(B3&lt;0.65, "Medium Risk", "High Risk")))</f>
        <v>High Risk</v>
      </c>
      <c r="D3" s="2" t="s">
        <v>8</v>
      </c>
      <c r="E3" s="2" t="str">
        <f aca="false">IF(AND(C3="Low Risk", D3="Create a dedicated repair fund"), Justifications!C3,
 IF(AND(C3="Low Risk", D3="Negotiate extended payment terms with contractors"), Justifications!C4,
 IF(AND(C3="Low Risk", D3="Plan for a one-time rent increase"), Justifications!C5,
 IF(AND(C3="Medium Risk", D3="Create a dedicated repair fund"), Justifications!C8,
 IF(AND(C3="Medium Risk", D3="Negotiate extended payment terms with contractors"), Justifications!C7,
 IF(AND(C3="Medium Risk", D3="Plan for a one-time rent increase"), Justifications!C9,
 IF(AND(C3="High Risk", D3="Create a dedicated repair fund"), Justifications!C12,
 IF(AND(C3="High Risk", D3="Negotiate extended payment terms with contractors"), Justifications!C13,
 IF(AND(C3="High Risk", D3="Plan for a one-time rent increase"), Justifications!C11,
 "Please select a valid risk level and mitigation strategy.")))))))))</f>
        <v>Provides immediate funding for urgent repairs, directly addressing the high risk.</v>
      </c>
    </row>
    <row r="4" customFormat="false" ht="21" hidden="false" customHeight="true" outlineLevel="0" collapsed="false">
      <c r="A4" s="2" t="s">
        <v>9</v>
      </c>
      <c r="B4" s="3" t="n">
        <v>0.45</v>
      </c>
      <c r="C4" s="2" t="str">
        <f aca="false">IF(ISBLANK(B4), "", IF(B4&lt;0.4, "Low Risk", IF(B4&lt;0.65, "Medium Risk", "High Risk")))</f>
        <v>Medium Risk</v>
      </c>
      <c r="D4" s="2" t="s">
        <v>10</v>
      </c>
      <c r="E4" s="2" t="str">
        <f aca="false">IF(AND(C4="Low Risk", D4="Enhance marketing efforts"), Justifications!D3,
 IF(AND(C4="Low Risk", D4="Introduce competitive pricing"), Justifications!D4,
 IF(AND(C4="Low Risk", D4="Upgrade amenities to retain and attract tenants"), Justifications!D5,
 IF(AND(C4="Medium Risk", D4="Enhance marketing efforts"), Justifications!D8,
 IF(AND(C4="Medium Risk", D4="Introduce competitive pricing"), Justifications!D7,
 IF(AND(C4="Medium Risk", D4="Upgrade amenities to retain and attract tenants"), Justifications!D9,
 IF(AND(C4="High Risk", D4="Enhance marketing efforts"), Justifications!D13,
 IF(AND(C4="High Risk", D4="Introduce competitive pricing"), Justifications!D12,
 IF(AND(C4="High Risk", D4="Upgrade amenities to retain and attract tenants"), Justifications!D11,
 "Please select a valid risk level and mitigation strategy.")))))))))</f>
        <v>Can quickly attract new tenants and retain existing ones, directly addressing the occupancy challenge</v>
      </c>
    </row>
    <row r="5" customFormat="false" ht="21" hidden="false" customHeight="true" outlineLevel="0" collapsed="false">
      <c r="A5" s="2" t="s">
        <v>11</v>
      </c>
      <c r="B5" s="3" t="n">
        <v>0.25</v>
      </c>
      <c r="C5" s="2" t="str">
        <f aca="false">IF(ISBLANK(B5), "", IF(B5&lt;0.4, "Low Risk", IF(B5&lt;0.65, "Medium Risk", "High Risk")))</f>
        <v>Low Risk</v>
      </c>
      <c r="D5" s="2" t="s">
        <v>12</v>
      </c>
      <c r="E5" s="2" t="str">
        <f aca="false">IF(AND(C5="Low Risk", D5="Diversify property portfolio"), Justifications!E5,
 IF(AND(C5="Low Risk", D5="Strengthen tenant relationships through incentives"), Justifications!E4,
 IF(AND(C5="Low Risk", D5="Adjust rent to market conditions"), Justifications!E3,
 IF(AND(C5="Medium Risk", D5="Diversify property portfolio"), Justifications!E9,
 IF(AND(C5="Medium Risk", D5="Strengthen tenant relationships through incentives"), Justifications!E7,
 IF(AND(C5="Medium Risk", D5="Adjust rent to market conditions"), Justifications!E12,
 IF(AND(C5="High Risk", D5="Diversify property portfolio"), Justifications!E11,
 IF(AND(C5="High Risk", D5="Strengthen tenant relationships through incentives"), Justifications!E13,
 IF(AND(C5="High Risk", D5="Adjust rent to market conditions"), Justifications!B16,
 "Please select a valid risk level and mitigation strategy.")))))))))</f>
        <v>Keeps the property competitive and attractive to tenants, a cautious approach that aligns with the lower immediacy of risk.</v>
      </c>
    </row>
    <row r="6" customFormat="false" ht="21" hidden="false" customHeight="true" outlineLevel="0" collapsed="false">
      <c r="A6" s="2" t="s">
        <v>13</v>
      </c>
      <c r="B6" s="3" t="n">
        <v>0.55</v>
      </c>
      <c r="C6" s="2" t="str">
        <f aca="false">IF(ISBLANK(B6), "", IF(B6&lt;0.4, "Low Risk", IF(B6&lt;0.65, "Medium Risk", "High Risk")))</f>
        <v>Medium Risk</v>
      </c>
      <c r="D6" s="2" t="s">
        <v>14</v>
      </c>
      <c r="E6" s="2" t="str">
        <f aca="false">IF(AND(C6="Low Risk", D6="Introduce loyalty programs for existing tenants"), Justifications!E4,
 IF(AND(C6="Low Risk", D6="Research competitor's pricing and services"), Justifications!E3,
 IF(AND(C6="Low Risk", D6="Invest in property renovations"), Justifications!E5,
 IF(AND(C6="Medium Risk", D6="Introduce loyalty programs for existing tenants"), Justifications!E7,
 IF(AND(C6="Medium Risk", D6="Research competitor's pricing and services"), Justifications!E8,
 IF(AND(C6="Medium Risk", D6="Invest in property renovations"), Justifications!E11,
 IF(AND(C6="High Risk", D6="Introduce loyalty programs for existing tenants"), Justifications!E12,
 IF(AND(C6="High Risk", D6="Research competitor's pricing and services"), Justifications!E13,
 IF(AND(C6="High Risk", D6="Invest in property renovations"), Justifications!B17,
 "Please select a valid risk level and mitigation strategy.")))))))))</f>
        <v>Can be crucial in retaining tenants during market uncertainty, balancing the potential for decreased income.</v>
      </c>
    </row>
    <row r="24" customFormat="false" ht="19.5" hidden="false" customHeight="true" outlineLevel="0" collapsed="false">
      <c r="D24" s="4"/>
    </row>
  </sheetData>
  <conditionalFormatting sqref="C2:C6">
    <cfRule type="containsText" priority="2" operator="containsText" aboveAverage="0" equalAverage="0" bottom="0" percent="0" rank="0" text="High Risk" dxfId="0">
      <formula>NOT(ISERROR(SEARCH("High Risk",C2)))</formula>
    </cfRule>
    <cfRule type="containsText" priority="3" operator="containsText" aboveAverage="0" equalAverage="0" bottom="0" percent="0" rank="0" text="Medium Risk" dxfId="1">
      <formula>NOT(ISERROR(SEARCH("Medium Risk",C2)))</formula>
    </cfRule>
    <cfRule type="containsText" priority="4" operator="containsText" aboveAverage="0" equalAverage="0" bottom="0" percent="0" rank="0" text="Low Risk" dxfId="2">
      <formula>NOT(ISERROR(SEARCH("Low Risk",C2)))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D20" activeCellId="0" sqref="D20"/>
    </sheetView>
  </sheetViews>
  <sheetFormatPr defaultColWidth="10.62109375" defaultRowHeight="15.75" zeroHeight="false" outlineLevelRow="0" outlineLevelCol="0"/>
  <cols>
    <col collapsed="false" customWidth="true" hidden="false" outlineLevel="0" max="2" min="1" style="0" width="45.17"/>
    <col collapsed="false" customWidth="true" hidden="false" outlineLevel="0" max="3" min="3" style="0" width="41.33"/>
    <col collapsed="false" customWidth="true" hidden="false" outlineLevel="0" max="4" min="4" style="0" width="70.33"/>
    <col collapsed="false" customWidth="true" hidden="false" outlineLevel="0" max="5" min="5" style="0" width="40.17"/>
  </cols>
  <sheetData>
    <row r="1" s="5" customFormat="true" ht="15.75" hidden="false" customHeight="false" outlineLevel="0" collapsed="false">
      <c r="A1" s="5" t="s">
        <v>5</v>
      </c>
      <c r="B1" s="5" t="s">
        <v>7</v>
      </c>
      <c r="C1" s="5" t="s">
        <v>9</v>
      </c>
      <c r="D1" s="5" t="s">
        <v>11</v>
      </c>
      <c r="E1" s="5" t="s">
        <v>13</v>
      </c>
    </row>
    <row r="2" customFormat="false" ht="15.75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14</v>
      </c>
    </row>
    <row r="3" customFormat="false" ht="15.75" hidden="false" customHeight="false" outlineLevel="0" collapsed="false">
      <c r="A3" s="0" t="s">
        <v>6</v>
      </c>
      <c r="B3" s="0" t="s">
        <v>19</v>
      </c>
      <c r="C3" s="0" t="s">
        <v>10</v>
      </c>
      <c r="D3" s="0" t="s">
        <v>20</v>
      </c>
      <c r="E3" s="0" t="s">
        <v>21</v>
      </c>
    </row>
    <row r="4" customFormat="false" ht="15.75" hidden="false" customHeight="false" outlineLevel="0" collapsed="false">
      <c r="A4" s="0" t="s">
        <v>22</v>
      </c>
      <c r="B4" s="0" t="s">
        <v>8</v>
      </c>
      <c r="C4" s="0" t="s">
        <v>23</v>
      </c>
      <c r="D4" s="0" t="s">
        <v>12</v>
      </c>
      <c r="E4" s="0" t="s">
        <v>24</v>
      </c>
    </row>
    <row r="30" customFormat="false" ht="21" hidden="false" customHeight="true" outlineLevel="0" collapsed="false">
      <c r="A30" s="2"/>
    </row>
    <row r="31" customFormat="false" ht="21" hidden="false" customHeight="true" outlineLevel="0" collapsed="false">
      <c r="A31" s="2"/>
    </row>
    <row r="32" customFormat="false" ht="21" hidden="false" customHeight="true" outlineLevel="0" collapsed="false">
      <c r="A32" s="2"/>
    </row>
    <row r="33" customFormat="false" ht="21" hidden="false" customHeight="true" outlineLevel="0" collapsed="false">
      <c r="A33" s="2"/>
    </row>
    <row r="34" customFormat="false" ht="21" hidden="false" customHeight="true" outlineLevel="0" collapsed="false">
      <c r="A3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0.62109375" defaultRowHeight="15.75" zeroHeight="false" outlineLevelRow="0" outlineLevelCol="0"/>
  <cols>
    <col collapsed="false" customWidth="true" hidden="false" outlineLevel="0" max="2" min="2" style="0" width="94.5"/>
    <col collapsed="false" customWidth="true" hidden="false" outlineLevel="0" max="3" min="3" style="0" width="101.66"/>
    <col collapsed="false" customWidth="true" hidden="false" outlineLevel="0" max="5" min="4" style="0" width="89.66"/>
    <col collapsed="false" customWidth="true" hidden="false" outlineLevel="0" max="6" min="6" style="0" width="102.51"/>
  </cols>
  <sheetData>
    <row r="1" s="5" customFormat="true" ht="15.75" hidden="false" customHeight="false" outlineLevel="0" collapsed="false">
      <c r="B1" s="5" t="s">
        <v>5</v>
      </c>
      <c r="C1" s="5" t="s">
        <v>7</v>
      </c>
      <c r="D1" s="5" t="s">
        <v>9</v>
      </c>
      <c r="E1" s="5" t="s">
        <v>11</v>
      </c>
      <c r="F1" s="5" t="s">
        <v>13</v>
      </c>
    </row>
    <row r="2" customFormat="false" ht="15.75" hidden="false" customHeight="false" outlineLevel="0" collapsed="false">
      <c r="B2" s="6" t="s">
        <v>25</v>
      </c>
      <c r="C2" s="6" t="s">
        <v>25</v>
      </c>
      <c r="D2" s="6" t="s">
        <v>25</v>
      </c>
      <c r="E2" s="6" t="s">
        <v>25</v>
      </c>
      <c r="F2" s="6" t="s">
        <v>25</v>
      </c>
    </row>
    <row r="3" customFormat="false" ht="15.75" hidden="false" customHeight="false" outlineLevel="0" collapsed="false">
      <c r="A3" s="0" t="s">
        <v>26</v>
      </c>
      <c r="B3" s="0" t="s">
        <v>27</v>
      </c>
      <c r="C3" s="0" t="s">
        <v>28</v>
      </c>
      <c r="D3" s="0" t="s">
        <v>29</v>
      </c>
      <c r="E3" s="0" t="s">
        <v>30</v>
      </c>
      <c r="F3" s="0" t="s">
        <v>31</v>
      </c>
    </row>
    <row r="4" customFormat="false" ht="15.75" hidden="false" customHeight="false" outlineLevel="0" collapsed="false">
      <c r="A4" s="0" t="s">
        <v>32</v>
      </c>
      <c r="B4" s="0" t="s">
        <v>33</v>
      </c>
      <c r="C4" s="0" t="s">
        <v>34</v>
      </c>
      <c r="D4" s="0" t="s">
        <v>35</v>
      </c>
      <c r="E4" s="0" t="s">
        <v>36</v>
      </c>
      <c r="F4" s="0" t="s">
        <v>37</v>
      </c>
    </row>
    <row r="5" customFormat="false" ht="15.75" hidden="false" customHeight="false" outlineLevel="0" collapsed="false">
      <c r="A5" s="0" t="s">
        <v>38</v>
      </c>
      <c r="B5" s="0" t="s">
        <v>39</v>
      </c>
      <c r="C5" s="0" t="s">
        <v>40</v>
      </c>
      <c r="D5" s="0" t="s">
        <v>41</v>
      </c>
      <c r="E5" s="0" t="s">
        <v>42</v>
      </c>
      <c r="F5" s="0" t="s">
        <v>43</v>
      </c>
    </row>
    <row r="6" customFormat="false" ht="15.75" hidden="false" customHeight="false" outlineLevel="0" collapsed="false">
      <c r="B6" s="7" t="s">
        <v>44</v>
      </c>
      <c r="C6" s="7" t="s">
        <v>44</v>
      </c>
      <c r="D6" s="7" t="s">
        <v>44</v>
      </c>
      <c r="E6" s="7" t="s">
        <v>44</v>
      </c>
      <c r="F6" s="7" t="s">
        <v>44</v>
      </c>
    </row>
    <row r="7" customFormat="false" ht="15.75" hidden="false" customHeight="false" outlineLevel="0" collapsed="false">
      <c r="A7" s="0" t="s">
        <v>26</v>
      </c>
      <c r="B7" s="0" t="s">
        <v>45</v>
      </c>
      <c r="C7" s="0" t="s">
        <v>46</v>
      </c>
      <c r="D7" s="0" t="s">
        <v>47</v>
      </c>
      <c r="E7" s="0" t="s">
        <v>48</v>
      </c>
      <c r="F7" s="0" t="s">
        <v>49</v>
      </c>
    </row>
    <row r="8" customFormat="false" ht="15.75" hidden="false" customHeight="false" outlineLevel="0" collapsed="false">
      <c r="A8" s="0" t="s">
        <v>32</v>
      </c>
      <c r="B8" s="0" t="s">
        <v>50</v>
      </c>
      <c r="C8" s="0" t="s">
        <v>51</v>
      </c>
      <c r="D8" s="0" t="s">
        <v>52</v>
      </c>
      <c r="E8" s="0" t="s">
        <v>53</v>
      </c>
      <c r="F8" s="0" t="s">
        <v>54</v>
      </c>
    </row>
    <row r="9" customFormat="false" ht="15.75" hidden="false" customHeight="false" outlineLevel="0" collapsed="false">
      <c r="A9" s="0" t="s">
        <v>38</v>
      </c>
      <c r="B9" s="0" t="s">
        <v>55</v>
      </c>
      <c r="C9" s="0" t="s">
        <v>56</v>
      </c>
      <c r="D9" s="0" t="s">
        <v>57</v>
      </c>
      <c r="E9" s="0" t="s">
        <v>58</v>
      </c>
      <c r="F9" s="0" t="s">
        <v>59</v>
      </c>
    </row>
    <row r="10" customFormat="false" ht="15.75" hidden="false" customHeight="false" outlineLevel="0" collapsed="false">
      <c r="B10" s="8" t="s">
        <v>60</v>
      </c>
      <c r="C10" s="8" t="s">
        <v>60</v>
      </c>
      <c r="D10" s="8" t="s">
        <v>60</v>
      </c>
      <c r="E10" s="8" t="s">
        <v>60</v>
      </c>
      <c r="F10" s="8" t="s">
        <v>60</v>
      </c>
    </row>
    <row r="11" customFormat="false" ht="15.75" hidden="false" customHeight="false" outlineLevel="0" collapsed="false">
      <c r="A11" s="0" t="s">
        <v>26</v>
      </c>
      <c r="B11" s="0" t="s">
        <v>61</v>
      </c>
      <c r="C11" s="0" t="s">
        <v>62</v>
      </c>
      <c r="D11" s="0" t="s">
        <v>63</v>
      </c>
      <c r="E11" s="0" t="s">
        <v>64</v>
      </c>
      <c r="F11" s="0" t="s">
        <v>65</v>
      </c>
    </row>
    <row r="12" customFormat="false" ht="15.75" hidden="false" customHeight="false" outlineLevel="0" collapsed="false">
      <c r="A12" s="0" t="s">
        <v>32</v>
      </c>
      <c r="B12" s="0" t="s">
        <v>66</v>
      </c>
      <c r="C12" s="0" t="s">
        <v>67</v>
      </c>
      <c r="D12" s="0" t="s">
        <v>68</v>
      </c>
      <c r="E12" s="0" t="s">
        <v>69</v>
      </c>
      <c r="F12" s="0" t="s">
        <v>70</v>
      </c>
    </row>
    <row r="13" customFormat="false" ht="15.75" hidden="false" customHeight="false" outlineLevel="0" collapsed="false">
      <c r="A13" s="0" t="s">
        <v>38</v>
      </c>
      <c r="B13" s="0" t="s">
        <v>71</v>
      </c>
      <c r="C13" s="0" t="s">
        <v>72</v>
      </c>
      <c r="D13" s="0" t="s">
        <v>73</v>
      </c>
      <c r="E13" s="0" t="s">
        <v>74</v>
      </c>
      <c r="F13" s="0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2023-12-18T17:06:50Z</dcterms:created>
  <dc:creator>Garrett Chappell</dc:creator>
  <dc:description/>
  <dc:language>en-US</dc:language>
  <cp:lastModifiedBy>Garrett Chappell</cp:lastModifiedBy>
  <dcterms:modified xsi:type="dcterms:W3CDTF">2026-07-01T17:31:02Z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