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isk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<sst xmlns="http://schemas.openxmlformats.org/spreadsheetml/2006/main" count="18" uniqueCount="18">
  <si>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Risk Attribute</t>
  </si>
  <si>
    <t xml:space="preserve">Persona 1</t>
  </si>
  <si>
    <t xml:space="preserve">Persona 2</t>
  </si>
  <si>
    <t xml:space="preserve">Persona 3</t>
  </si>
  <si>
    <t xml:space="preserve">Persona 4</t>
  </si>
  <si>
    <t xml:space="preserve">Weights</t>
  </si>
  <si>
    <t xml:space="preserve">Credit Score</t>
  </si>
  <si>
    <t xml:space="preserve">Annual Income</t>
  </si>
  <si>
    <t xml:space="preserve">Debt</t>
  </si>
  <si>
    <t xml:space="preserve">Savings</t>
  </si>
  <si>
    <t xml:space="preserve">Late Payments</t>
  </si>
  <si>
    <t xml:space="preserve">Credit Score (N)</t>
  </si>
  <si>
    <t xml:space="preserve">Annual Income (N)</t>
  </si>
  <si>
    <t xml:space="preserve">Debt (N)</t>
  </si>
  <si>
    <t xml:space="preserve">Savings (N)</t>
  </si>
  <si>
    <t xml:space="preserve">Late Payments (N)</t>
  </si>
  <si>
    <t xml:space="preserve">Weighted Score</t>
  </si>
  <si>
    <t xml:space="preserve">Risk Category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</si>
</sst>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4"/>
      <color rgb="FF0D0D0D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.16"/>
    <col collapsed="false" customWidth="true" hidden="false" outlineLevel="0" max="3" min="3" style="0" width="13.83"/>
    <col collapsed="false" customWidth="true" hidden="false" outlineLevel="0" max="4" min="4" style="0" width="13.16"/>
    <col collapsed="false" customWidth="true" hidden="false" outlineLevel="0" max="5" min="5" style="0" width="13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n">
        <v>760</v>
      </c>
      <c r="C2" s="0" t="n">
        <v>700</v>
      </c>
      <c r="D2" s="0" t="n">
        <v>660</v>
      </c>
      <c r="E2" s="0" t="n">
        <v>720</v>
      </c>
      <c r="F2" s="0" t="n">
        <v>0.25</v>
      </c>
    </row>
    <row r="3" customFormat="false" ht="15" hidden="false" customHeight="false" outlineLevel="0" collapsed="false">
      <c r="A3" s="0" t="s">
        <v>7</v>
      </c>
      <c r="B3" s="0" t="n">
        <v>280000</v>
      </c>
      <c r="C3" s="0" t="n">
        <v>180000</v>
      </c>
      <c r="D3" s="0" t="n">
        <v>100000</v>
      </c>
      <c r="E3" s="0" t="n">
        <v>150000</v>
      </c>
      <c r="F3" s="0" t="n">
        <v>0.2</v>
      </c>
    </row>
    <row r="4" customFormat="false" ht="15" hidden="false" customHeight="false" outlineLevel="0" collapsed="false">
      <c r="A4" s="0" t="s">
        <v>8</v>
      </c>
      <c r="B4" s="0" t="n">
        <v>150000</v>
      </c>
      <c r="C4" s="0" t="n">
        <v>100000</v>
      </c>
      <c r="D4" s="0" t="n">
        <v>90000</v>
      </c>
      <c r="E4" s="0" t="n">
        <v>200000</v>
      </c>
      <c r="F4" s="0" t="n">
        <v>0.2</v>
      </c>
    </row>
    <row r="5" customFormat="false" ht="15" hidden="false" customHeight="false" outlineLevel="0" collapsed="false">
      <c r="A5" s="0" t="s">
        <v>9</v>
      </c>
      <c r="B5" s="0" t="n">
        <v>450000</v>
      </c>
      <c r="C5" s="0" t="n">
        <v>120000</v>
      </c>
      <c r="D5" s="0" t="n">
        <v>20000</v>
      </c>
      <c r="E5" s="0" t="n">
        <v>80000</v>
      </c>
      <c r="F5" s="0" t="n">
        <v>0.25</v>
      </c>
    </row>
    <row r="6" customFormat="false" ht="15" hidden="false" customHeight="false" outlineLevel="0" collapsed="false">
      <c r="A6" s="0" t="s">
        <v>10</v>
      </c>
      <c r="B6" s="0" t="n">
        <v>0</v>
      </c>
      <c r="C6" s="0" t="n">
        <v>1</v>
      </c>
      <c r="D6" s="0" t="n">
        <v>2</v>
      </c>
      <c r="E6" s="0" t="n">
        <v>1</v>
      </c>
      <c r="F6" s="0" t="n">
        <v>0.1</v>
      </c>
    </row>
    <row r="8" customFormat="false" ht="15" hidden="false" customHeight="false" outlineLevel="0" collapsed="false">
      <c r="A8" s="1" t="s">
        <v>11</v>
      </c>
      <c r="B8" s="1" t="n">
        <f aca="false">(B2-300)/(850-300)*100</f>
        <v>83.6363636363636</v>
      </c>
      <c r="C8" s="1" t="n">
        <f aca="false">(C2-300)/(850-300)*100</f>
        <v>72.7272727272727</v>
      </c>
      <c r="D8" s="1" t="n">
        <f aca="false">(D2-300)/(850-300)*100</f>
        <v>65.4545454545455</v>
      </c>
      <c r="E8" s="1" t="n">
        <f aca="false">(E2-300)/(850-300)*100</f>
        <v>76.3636363636364</v>
      </c>
      <c r="F8" s="1"/>
    </row>
    <row r="9" customFormat="false" ht="15" hidden="false" customHeight="false" outlineLevel="0" collapsed="false">
      <c r="A9" s="0" t="s">
        <v>12</v>
      </c>
      <c r="B9" s="0" t="n">
        <f aca="false">MIN(B3/300000, 1)*100</f>
        <v>93.3333333333333</v>
      </c>
      <c r="C9" s="0" t="n">
        <f aca="false">MIN(C3/300000, 1)*100</f>
        <v>60</v>
      </c>
      <c r="D9" s="0" t="n">
        <f aca="false">MIN(D3/300000, 1)*100</f>
        <v>33.3333333333333</v>
      </c>
      <c r="E9" s="0" t="n">
        <f aca="false">MIN(E3/300000, 1)*100</f>
        <v>50</v>
      </c>
    </row>
    <row r="10" customFormat="false" ht="15" hidden="false" customHeight="false" outlineLevel="0" collapsed="false">
      <c r="A10" s="0" t="s">
        <v>13</v>
      </c>
      <c r="B10" s="0" t="n">
        <f aca="false">MIN(B4/300000, 1)*100</f>
        <v>50</v>
      </c>
      <c r="C10" s="0" t="n">
        <f aca="false">MIN(C4/300000, 1)*100</f>
        <v>33.3333333333333</v>
      </c>
      <c r="D10" s="0" t="n">
        <f aca="false">MIN(D4/300000, 1)*100</f>
        <v>30</v>
      </c>
      <c r="E10" s="0" t="n">
        <f aca="false">MIN(E4/300000, 1)*100</f>
        <v>66.6666666666667</v>
      </c>
    </row>
    <row r="11" customFormat="false" ht="15" hidden="false" customHeight="false" outlineLevel="0" collapsed="false">
      <c r="A11" s="0" t="s">
        <v>14</v>
      </c>
      <c r="B11" s="0" t="n">
        <f aca="false">MIN(B5/500000, 1)*100</f>
        <v>90</v>
      </c>
      <c r="C11" s="0" t="n">
        <f aca="false">MIN(C5/500000, 1)*100</f>
        <v>24</v>
      </c>
      <c r="D11" s="0" t="n">
        <f aca="false">MIN(D5/500000, 1)*100</f>
        <v>4</v>
      </c>
      <c r="E11" s="0" t="n">
        <f aca="false">MIN(E5/500000, 1)*100</f>
        <v>16</v>
      </c>
    </row>
    <row r="12" customFormat="false" ht="15" hidden="false" customHeight="false" outlineLevel="0" collapsed="false">
      <c r="A12" s="0" t="s">
        <v>15</v>
      </c>
      <c r="B12" s="0" t="n">
        <f aca="false">MIN(B6/5, 1)*100</f>
        <v>0</v>
      </c>
      <c r="C12" s="0" t="n">
        <f aca="false">MIN(C6/5, 1)*100</f>
        <v>20</v>
      </c>
      <c r="D12" s="0" t="n">
        <f aca="false">MIN(D6/5, 1)*100</f>
        <v>40</v>
      </c>
      <c r="E12" s="0" t="n">
        <f aca="false">MIN(E6/5, 1)*100</f>
        <v>20</v>
      </c>
    </row>
    <row r="14" customFormat="false" ht="15" hidden="false" customHeight="false" outlineLevel="0" collapsed="false">
      <c r="A14" s="1" t="s">
        <v>16</v>
      </c>
      <c r="B14" s="1" t="n">
        <f aca="false">B8*$F$2 + B9*$F$3 + B10*$F$4 + B11*$F$5 + B12*$F$6</f>
        <v>72.0757575757576</v>
      </c>
      <c r="C14" s="1" t="n">
        <f aca="false">C8*$F$2 + C9*$F$3 + C10*$F$4 + C11*$F$5 + C12*$F$6</f>
        <v>44.8484848484849</v>
      </c>
      <c r="D14" s="1" t="n">
        <f aca="false">D8*$F$2 + D9*$F$3 + D10*$F$4 + D11*$F$5 + D12*$F$6</f>
        <v>34.030303030303</v>
      </c>
      <c r="E14" s="1" t="n">
        <f aca="false">E8*$F$2 + E9*$F$3 + E10*$F$4 + E11*$F$5 + E12*$F$6</f>
        <v>48.4242424242424</v>
      </c>
      <c r="F14" s="1"/>
    </row>
    <row r="15" customFormat="false" ht="18.75" hidden="false" customHeight="true" outlineLevel="0" collapsed="false">
      <c r="A15" s="0" t="s">
        <v>17</v>
      </c>
      <c r="B15" s="2" t="str">
        <f aca="false">IF(B14&lt;=33,"High Risk",IF(B14&lt;=66,"Medium Risk","Low Risk"))</f>
        <v>Low Risk</v>
      </c>
      <c r="C15" s="2" t="str">
        <f aca="false">IF(C14&lt;=33,"High Risk",IF(C14&lt;=66,"Medium Risk","Low Risk"))</f>
        <v>Medium Risk</v>
      </c>
      <c r="D15" s="2" t="str">
        <f aca="false">IF(D14&lt;=33,"High Risk",IF(D14&lt;=66,"Medium Risk","Low Risk"))</f>
        <v>Medium Risk</v>
      </c>
      <c r="E15" s="2" t="str">
        <f aca="false">IF(E14&lt;=33,"High Risk",IF(E14&lt;=66,"Medium Risk","Low Risk"))</f>
        <v>Medium Risk</v>
      </c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2024-05-29T12:51:57Z</dcterms:created>
  <dc:creator>openpyxl</dc:creator>
  <dc:description/>
  <dc:language>en-US</dc:language>
  <cp:lastModifiedBy>Chappell, Garrett</cp:lastModifiedBy>
  <dcterms:modified xsi:type="dcterms:W3CDTF">2026-07-01T14:41:24Z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